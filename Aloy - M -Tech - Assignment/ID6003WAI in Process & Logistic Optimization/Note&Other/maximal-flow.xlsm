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rof Rahul Marathe\OneDrive\Documents\rahul\training\Logistics-WebMTech\03b-network-models\"/>
    </mc:Choice>
  </mc:AlternateContent>
  <bookViews>
    <workbookView xWindow="-15" yWindow="-15" windowWidth="9630" windowHeight="5190" firstSheet="1" activeTab="1"/>
  </bookViews>
  <sheets>
    <sheet name="Module1" sheetId="1" state="veryHidden" r:id=""/>
    <sheet name="Flow Report" sheetId="2" r:id="rId1"/>
  </sheets>
  <definedNames>
    <definedName name="_Regression_Int" localSheetId="1" hidden="1">1</definedName>
    <definedName name="coin_cuttype" localSheetId="1" hidden="1">1</definedName>
    <definedName name="coin_dualtol" localSheetId="1" hidden="1">0.0000001</definedName>
    <definedName name="coin_heurs" localSheetId="1" hidden="1">1</definedName>
    <definedName name="coin_integerpresolve" localSheetId="1" hidden="1">1</definedName>
    <definedName name="coin_presolve1" localSheetId="1" hidden="1">1</definedName>
    <definedName name="coin_primaltol" localSheetId="1" hidden="1">0.0000001</definedName>
    <definedName name="DATA">'Flow Report'!#REF!</definedName>
    <definedName name="grb_bariter" localSheetId="1" hidden="1">1E+100</definedName>
    <definedName name="grb_bartol" localSheetId="1" hidden="1">0.00000001</definedName>
    <definedName name="grb_crossover" localSheetId="1" hidden="1">-1</definedName>
    <definedName name="grb_cutoff" localSheetId="1" hidden="1">1E+100</definedName>
    <definedName name="grb_cuts" localSheetId="1" hidden="1">-1</definedName>
    <definedName name="grb_focus" localSheetId="1" hidden="1">0</definedName>
    <definedName name="grb_heur" localSheetId="1" hidden="1">0.05</definedName>
    <definedName name="grb_infeas" localSheetId="1" hidden="1">0.000001</definedName>
    <definedName name="grb_inttol" localSheetId="1" hidden="1">0.00001</definedName>
    <definedName name="grb_method" localSheetId="1" hidden="1">1</definedName>
    <definedName name="grb_nodefilestart" localSheetId="1" hidden="1">1E+100</definedName>
    <definedName name="grb_optimal" localSheetId="1" hidden="1">0.000001</definedName>
    <definedName name="grb_order" localSheetId="1" hidden="1">-1</definedName>
    <definedName name="grb_presolve" localSheetId="1" hidden="1">-1</definedName>
    <definedName name="grb_pricing" localSheetId="1" hidden="1">-1</definedName>
    <definedName name="grb_relmip" localSheetId="1" hidden="1">0.0001</definedName>
    <definedName name="grb_rootmethod" localSheetId="1" hidden="1">1</definedName>
    <definedName name="grb_submip" localSheetId="1" hidden="1">500</definedName>
    <definedName name="grb_symmetry" localSheetId="1" hidden="1">-1</definedName>
    <definedName name="grb_threads" localSheetId="1" hidden="1">0</definedName>
    <definedName name="grb_var" localSheetId="1" hidden="1">-1</definedName>
    <definedName name="solver_acc" localSheetId="1" hidden="1">0.001</definedName>
    <definedName name="solver_adj" localSheetId="1" hidden="1">'Flow Report'!$B$6:$B$14</definedName>
    <definedName name="solver_adj_ob" localSheetId="1" hidden="1">1</definedName>
    <definedName name="solver_ars" localSheetId="1" hidden="1">1</definedName>
    <definedName name="solver_bigm" localSheetId="1" hidden="1">1000000</definedName>
    <definedName name="solver_bnd" localSheetId="1" hidden="1">1</definedName>
    <definedName name="solver_cha" localSheetId="1" hidden="1">0</definedName>
    <definedName name="solver_chc1" localSheetId="1" hidden="1">0</definedName>
    <definedName name="solver_chc2" localSheetId="1" hidden="1">0</definedName>
    <definedName name="solver_chc3" localSheetId="1" hidden="1">0</definedName>
    <definedName name="solver_chn" localSheetId="1" hidden="1">4</definedName>
    <definedName name="solver_chp1" localSheetId="1" hidden="1">0</definedName>
    <definedName name="solver_chp2" localSheetId="1" hidden="1">0</definedName>
    <definedName name="solver_chp3" localSheetId="1" hidden="1">0</definedName>
    <definedName name="solver_cht" localSheetId="1" hidden="1">0</definedName>
    <definedName name="solver_cir1" localSheetId="1" hidden="1">1</definedName>
    <definedName name="solver_cir2" localSheetId="1" hidden="1">1</definedName>
    <definedName name="solver_cir3" localSheetId="1" hidden="1">1</definedName>
    <definedName name="solver_con1" localSheetId="1" hidden="1">" "</definedName>
    <definedName name="solver_con2" localSheetId="1" hidden="1">" "</definedName>
    <definedName name="solver_con3" localSheetId="1" hidden="1">" "</definedName>
    <definedName name="solver_corr" hidden="1">1</definedName>
    <definedName name="solver_ctp1" hidden="1">0</definedName>
    <definedName name="solver_ctp2" hidden="1">0</definedName>
    <definedName name="solver_cvg" localSheetId="1" hidden="1">0.0001</definedName>
    <definedName name="solver_dia" localSheetId="1" hidden="1">5</definedName>
    <definedName name="solver_disp" hidden="1">0</definedName>
    <definedName name="solver_drv" localSheetId="1" hidden="1">1</definedName>
    <definedName name="solver_eng" localSheetId="1" hidden="1">2</definedName>
    <definedName name="solver_est" localSheetId="1" hidden="1">1</definedName>
    <definedName name="solver_eval" hidden="1">0</definedName>
    <definedName name="solver_fea" localSheetId="1" hidden="1">0.000001</definedName>
    <definedName name="solver_fns" localSheetId="1" hidden="1">0</definedName>
    <definedName name="solver_gap" localSheetId="1" hidden="1">0.0000001</definedName>
    <definedName name="solver_glb" localSheetId="1" hidden="1">-1E+30</definedName>
    <definedName name="solver_gub" localSheetId="1" hidden="1">1E+30</definedName>
    <definedName name="solver_iao" localSheetId="1" hidden="1">0</definedName>
    <definedName name="solver_ibd" localSheetId="1" hidden="1">2</definedName>
    <definedName name="solver_inc" localSheetId="1" hidden="1">0</definedName>
    <definedName name="solver_int" localSheetId="1" hidden="1">0</definedName>
    <definedName name="solver_ipd" localSheetId="1" hidden="1">3</definedName>
    <definedName name="solver_ipi" localSheetId="1" hidden="1">1</definedName>
    <definedName name="solver_ips" localSheetId="1" hidden="1">0.99</definedName>
    <definedName name="solver_irs" localSheetId="1" hidden="1">0</definedName>
    <definedName name="solver_ism" localSheetId="1" hidden="1">0</definedName>
    <definedName name="solver_itr" localSheetId="1" hidden="1">2147483647</definedName>
    <definedName name="solver_lcens" hidden="1">-1E+30</definedName>
    <definedName name="solver_lcut" hidden="1">-1E+30</definedName>
    <definedName name="solver_lhs_ob1" localSheetId="1" hidden="1">0</definedName>
    <definedName name="solver_lhs_ob2" localSheetId="1" hidden="1">0</definedName>
    <definedName name="solver_lhs_ob3" localSheetId="1" hidden="1">0</definedName>
    <definedName name="solver_lhs1" localSheetId="1" hidden="1">'Flow Report'!$B$6:$B$14</definedName>
    <definedName name="solver_lhs2" localSheetId="1" hidden="1">'Flow Report'!$B$6:$B$14</definedName>
    <definedName name="solver_lhs3" localSheetId="1" hidden="1">'Flow Report'!$K$6:$K$11</definedName>
    <definedName name="solver_lin" localSheetId="1" hidden="1">2</definedName>
    <definedName name="solver_loc" localSheetId="1" hidden="1">4</definedName>
    <definedName name="solver_log" localSheetId="1" hidden="1">1</definedName>
    <definedName name="solver_lpp" localSheetId="1" hidden="1">0</definedName>
    <definedName name="solver_lpt" localSheetId="1" hidden="1">0</definedName>
    <definedName name="solver_lva" localSheetId="1" hidden="1">0</definedName>
    <definedName name="solver_mda" localSheetId="1" hidden="1">4</definedName>
    <definedName name="solver_met" localSheetId="1" hidden="1">1</definedName>
    <definedName name="solver_mip" localSheetId="1" hidden="1">2147483647</definedName>
    <definedName name="solver_mni" localSheetId="1" hidden="1">30</definedName>
    <definedName name="solver_mod" localSheetId="1" hidden="1">1</definedName>
    <definedName name="solver_mrt" localSheetId="1" hidden="1">0.075</definedName>
    <definedName name="solver_msl" localSheetId="1" hidden="1">2</definedName>
    <definedName name="solver_neg" localSheetId="1" hidden="1">1</definedName>
    <definedName name="solver_nod" localSheetId="1" hidden="1">2147483647</definedName>
    <definedName name="solver_nopt" localSheetId="1" hidden="1">1</definedName>
    <definedName name="solver_nsim" hidden="1">1</definedName>
    <definedName name="solver_ntr" localSheetId="1" hidden="1">0</definedName>
    <definedName name="solver_ntri" hidden="1">1000</definedName>
    <definedName name="solver_num" localSheetId="1" hidden="1">3</definedName>
    <definedName name="solver_nwt" localSheetId="1" hidden="1">1</definedName>
    <definedName name="solver_ofx" localSheetId="1" hidden="1">2</definedName>
    <definedName name="solver_opt" localSheetId="1" hidden="1">'Flow Report'!$B$16</definedName>
    <definedName name="solver_piv" localSheetId="1" hidden="1">0.000001</definedName>
    <definedName name="solver_pre" localSheetId="1" hidden="1">0.000001</definedName>
    <definedName name="solver_pro" localSheetId="1" hidden="1">2</definedName>
    <definedName name="solver_psi" localSheetId="1" hidden="1">0</definedName>
    <definedName name="solver_rbv" localSheetId="1" hidden="1">1</definedName>
    <definedName name="solver_rdp" localSheetId="1" hidden="1">1</definedName>
    <definedName name="solver_red" localSheetId="1" hidden="1">0.000001</definedName>
    <definedName name="solver_rel1" localSheetId="1" hidden="1">1</definedName>
    <definedName name="solver_rel2" localSheetId="1" hidden="1">3</definedName>
    <definedName name="solver_rel3" localSheetId="1" hidden="1">1</definedName>
    <definedName name="solver_reo" localSheetId="1" hidden="1">2</definedName>
    <definedName name="solver_rep" localSheetId="1" hidden="1">0</definedName>
    <definedName name="solver_res" localSheetId="1" hidden="1">0.05</definedName>
    <definedName name="solver_rhs1" localSheetId="1" hidden="1">'Flow Report'!$G$6:$G$14</definedName>
    <definedName name="solver_rhs2" localSheetId="1" hidden="1">0</definedName>
    <definedName name="solver_rhs3" localSheetId="1" hidden="1">'Flow Report'!$L$6:$L$11</definedName>
    <definedName name="solver_rlx" localSheetId="1" hidden="1">2</definedName>
    <definedName name="solver_rsd" localSheetId="1" hidden="1">0</definedName>
    <definedName name="solver_rsmp" hidden="1">2</definedName>
    <definedName name="solver_rtr" localSheetId="1" hidden="1">0</definedName>
    <definedName name="solver_rxc1" localSheetId="1" hidden="1">1</definedName>
    <definedName name="solver_rxc2" localSheetId="1" hidden="1">1</definedName>
    <definedName name="solver_rxc3" localSheetId="1" hidden="1">1</definedName>
    <definedName name="solver_scl" localSheetId="1" hidden="1">2</definedName>
    <definedName name="solver_seed" hidden="1">0</definedName>
    <definedName name="solver_sel" localSheetId="1" hidden="1">1</definedName>
    <definedName name="solver_sho" localSheetId="1" hidden="1">2</definedName>
    <definedName name="solver_slv" localSheetId="1" hidden="1">0</definedName>
    <definedName name="solver_slvu" localSheetId="1" hidden="1">0</definedName>
    <definedName name="solver_soc" localSheetId="1" hidden="1">0</definedName>
    <definedName name="solver_ssz" localSheetId="1" hidden="1">0</definedName>
    <definedName name="solver_sta" localSheetId="1" hidden="1">0</definedName>
    <definedName name="solver_std" localSheetId="1" hidden="1">0</definedName>
    <definedName name="solver_sthr" hidden="1">0</definedName>
    <definedName name="solver_thr" localSheetId="1" hidden="1">0</definedName>
    <definedName name="solver_tim" localSheetId="1" hidden="1">2147483647</definedName>
    <definedName name="solver_tms" localSheetId="1" hidden="1">0</definedName>
    <definedName name="solver_tol" localSheetId="1" hidden="1">0</definedName>
    <definedName name="solver_tree_a" localSheetId="1" hidden="1">1</definedName>
    <definedName name="solver_tree_b" localSheetId="1" hidden="1">1</definedName>
    <definedName name="solver_tree_ce" localSheetId="1" hidden="1">1</definedName>
    <definedName name="solver_tree_dn" localSheetId="1" hidden="1">1</definedName>
    <definedName name="solver_tree_rt" localSheetId="1" hidden="1">999999999999</definedName>
    <definedName name="solver_typ" localSheetId="1" hidden="1">1</definedName>
    <definedName name="solver_ubigm" localSheetId="1" hidden="1">1000000</definedName>
    <definedName name="solver_ucens" hidden="1">1E+30</definedName>
    <definedName name="solver_ucut" hidden="1">1E+30</definedName>
    <definedName name="solver_umod" localSheetId="1" hidden="1">1</definedName>
    <definedName name="solver_urs" localSheetId="1" hidden="1">0</definedName>
    <definedName name="solver_val" localSheetId="1" hidden="1">0</definedName>
    <definedName name="solver_ver" localSheetId="1" hidden="1">3</definedName>
    <definedName name="solver_vol" localSheetId="1" hidden="1">0</definedName>
  </definedNames>
  <calcPr calcId="152511"/>
</workbook>
</file>

<file path=xl/calcChain.xml><?xml version="1.0" encoding="utf-8"?>
<calcChain xmlns="http://schemas.openxmlformats.org/spreadsheetml/2006/main">
  <c r="K9" i="2" l="1"/>
  <c r="K6" i="2" l="1"/>
  <c r="B16" i="2" l="1"/>
  <c r="F14" i="2" l="1"/>
  <c r="F13" i="2"/>
  <c r="F12" i="2"/>
  <c r="F11" i="2"/>
  <c r="F10" i="2"/>
  <c r="F9" i="2"/>
  <c r="F8" i="2"/>
  <c r="F7" i="2"/>
  <c r="F6" i="2"/>
  <c r="D14" i="2"/>
  <c r="D13" i="2"/>
  <c r="D12" i="2"/>
  <c r="D11" i="2"/>
  <c r="D10" i="2"/>
  <c r="D9" i="2"/>
  <c r="D8" i="2"/>
  <c r="D7" i="2"/>
  <c r="D6" i="2"/>
  <c r="K7" i="2"/>
  <c r="K8" i="2"/>
  <c r="K10" i="2"/>
  <c r="K11" i="2"/>
</calcChain>
</file>

<file path=xl/comments1.xml><?xml version="1.0" encoding="utf-8"?>
<comments xmlns="http://schemas.openxmlformats.org/spreadsheetml/2006/main">
  <authors>
    <author>A satisfied Microsoft Office user</author>
  </authors>
  <commentList>
    <comment ref="B6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6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7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7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8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8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9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9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0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0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1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K11" authorId="0" shapeId="0">
      <text>
        <r>
          <rPr>
            <sz val="8"/>
            <color indexed="81"/>
            <rFont val="Tahoma"/>
            <family val="2"/>
          </rPr>
          <t>Constraint cell</t>
        </r>
      </text>
    </comment>
    <comment ref="B12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3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4" authorId="0" shapeId="0">
      <text>
        <r>
          <rPr>
            <sz val="8"/>
            <color indexed="81"/>
            <rFont val="Tahoma"/>
            <family val="2"/>
          </rPr>
          <t>Variable cell</t>
        </r>
      </text>
    </comment>
    <comment ref="B16" authorId="0" shapeId="0">
      <text>
        <r>
          <rPr>
            <sz val="8"/>
            <color indexed="81"/>
            <rFont val="Tahoma"/>
            <family val="2"/>
          </rPr>
          <t>Objective cell</t>
        </r>
      </text>
    </comment>
  </commentList>
</comments>
</file>

<file path=xl/sharedStrings.xml><?xml version="1.0" encoding="utf-8"?>
<sst xmlns="http://schemas.openxmlformats.org/spreadsheetml/2006/main" count="17" uniqueCount="17">
  <si>
    <t>Units</t>
  </si>
  <si>
    <t xml:space="preserve"> -- Arcs --</t>
  </si>
  <si>
    <t>Upper</t>
  </si>
  <si>
    <t>of Flow</t>
  </si>
  <si>
    <t xml:space="preserve">  From</t>
  </si>
  <si>
    <t xml:space="preserve">  To</t>
  </si>
  <si>
    <t>Bound</t>
  </si>
  <si>
    <t xml:space="preserve">  Nodes</t>
  </si>
  <si>
    <t>Net Flow</t>
  </si>
  <si>
    <t>Supply/Demand</t>
  </si>
  <si>
    <t>Oil Field</t>
  </si>
  <si>
    <t>Station 1</t>
  </si>
  <si>
    <t>Station 2</t>
  </si>
  <si>
    <t>Station 3</t>
  </si>
  <si>
    <t>Station 4</t>
  </si>
  <si>
    <t>Refinery</t>
  </si>
  <si>
    <t xml:space="preserve"> Maximal Flow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</si>
</sst>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General_)"/>
    <numFmt numFmtId="165" formatCode="0.0_)"/>
  </numFmts>
  <fonts count="11" x14ac:knownFonts="1">
    <font>
      <sz val="10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b/>
      <sz val="10"/>
      <color indexed="8"/>
      <name val="Arial"/>
      <family val="2"/>
    </font>
    <font>
      <b/>
      <sz val="10"/>
      <color indexed="10"/>
      <name val="Arial"/>
      <family val="2"/>
    </font>
    <font>
      <b/>
      <sz val="10"/>
      <color indexed="17"/>
      <name val="Arial"/>
      <family val="2"/>
    </font>
    <font>
      <b/>
      <sz val="10"/>
      <color indexed="12"/>
      <name val="Arial"/>
      <family val="2"/>
    </font>
    <font>
      <sz val="10"/>
      <color indexed="8"/>
      <name val="Arial"/>
      <family val="2"/>
    </font>
    <font>
      <sz val="8"/>
      <color indexed="81"/>
      <name val="Tahoma"/>
      <family val="2"/>
    </font>
    <font>
      <sz val="8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</fills>
  <borders count="6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164" fontId="0" fillId="0" borderId="0"/>
  </cellStyleXfs>
  <cellXfs count="26">
    <xf numFmtId="164" fontId="0" fillId="0" borderId="0" xfId="0"/>
    <xf numFmtId="164" fontId="2" fillId="0" borderId="0" xfId="0" applyFont="1"/>
    <xf numFmtId="164" fontId="3" fillId="0" borderId="0" xfId="0" applyFont="1" applyAlignment="1">
      <alignment horizontal="centerContinuous"/>
    </xf>
    <xf numFmtId="164" fontId="3" fillId="0" borderId="0" xfId="0" applyFont="1" applyAlignment="1" applyProtection="1">
      <alignment horizontal="center"/>
    </xf>
    <xf numFmtId="164" fontId="3" fillId="0" borderId="0" xfId="0" applyFont="1" applyAlignment="1" applyProtection="1">
      <alignment horizontal="right"/>
    </xf>
    <xf numFmtId="164" fontId="3" fillId="0" borderId="1" xfId="0" applyFont="1" applyBorder="1" applyAlignment="1" applyProtection="1">
      <alignment horizontal="center"/>
    </xf>
    <xf numFmtId="164" fontId="2" fillId="0" borderId="0" xfId="0" applyFont="1" applyAlignment="1">
      <alignment horizontal="center"/>
    </xf>
    <xf numFmtId="164" fontId="1" fillId="0" borderId="0" xfId="0" applyFont="1" applyAlignment="1">
      <alignment horizontal="center"/>
    </xf>
    <xf numFmtId="164" fontId="3" fillId="0" borderId="0" xfId="0" applyFont="1" applyAlignment="1">
      <alignment horizontal="center"/>
    </xf>
    <xf numFmtId="164" fontId="1" fillId="0" borderId="1" xfId="0" applyFont="1" applyBorder="1" applyAlignment="1">
      <alignment horizontal="center"/>
    </xf>
    <xf numFmtId="164" fontId="4" fillId="0" borderId="0" xfId="0" applyFont="1" applyAlignment="1" applyProtection="1">
      <alignment horizontal="center"/>
      <protection locked="0"/>
    </xf>
    <xf numFmtId="164" fontId="4" fillId="0" borderId="1" xfId="0" applyFont="1" applyBorder="1" applyAlignment="1" applyProtection="1">
      <alignment horizontal="center"/>
      <protection locked="0"/>
    </xf>
    <xf numFmtId="164" fontId="1" fillId="0" borderId="0" xfId="0" applyFont="1" applyAlignment="1" applyProtection="1">
      <alignment horizontal="left"/>
    </xf>
    <xf numFmtId="164" fontId="3" fillId="0" borderId="0" xfId="0" applyFont="1" applyAlignment="1" applyProtection="1">
      <alignment horizontal="centerContinuous"/>
    </xf>
    <xf numFmtId="164" fontId="2" fillId="0" borderId="2" xfId="0" applyFont="1" applyBorder="1" applyAlignment="1">
      <alignment horizontal="center"/>
    </xf>
    <xf numFmtId="164" fontId="2" fillId="0" borderId="0" xfId="0" applyFont="1" applyBorder="1" applyAlignment="1">
      <alignment horizontal="center"/>
    </xf>
    <xf numFmtId="164" fontId="1" fillId="0" borderId="1" xfId="0" applyFont="1" applyBorder="1"/>
    <xf numFmtId="164" fontId="1" fillId="0" borderId="0" xfId="0" applyFont="1" applyBorder="1" applyAlignment="1">
      <alignment horizontal="center"/>
    </xf>
    <xf numFmtId="164" fontId="3" fillId="0" borderId="1" xfId="0" applyFont="1" applyBorder="1" applyAlignment="1" applyProtection="1">
      <alignment horizontal="left"/>
    </xf>
    <xf numFmtId="164" fontId="8" fillId="0" borderId="0" xfId="0" applyFont="1" applyAlignment="1" applyProtection="1">
      <alignment horizontal="center"/>
      <protection locked="0"/>
    </xf>
    <xf numFmtId="164" fontId="8" fillId="0" borderId="1" xfId="0" applyFont="1" applyBorder="1" applyAlignment="1" applyProtection="1">
      <alignment horizontal="center"/>
      <protection locked="0"/>
    </xf>
    <xf numFmtId="164" fontId="1" fillId="0" borderId="1" xfId="0" applyFont="1" applyBorder="1" applyAlignment="1">
      <alignment horizontal="left"/>
    </xf>
    <xf numFmtId="165" fontId="6" fillId="2" borderId="3" xfId="0" applyNumberFormat="1" applyFont="1" applyFill="1" applyBorder="1" applyAlignment="1" applyProtection="1">
      <alignment horizontal="center"/>
    </xf>
    <xf numFmtId="165" fontId="7" fillId="2" borderId="4" xfId="0" applyNumberFormat="1" applyFont="1" applyFill="1" applyBorder="1" applyAlignment="1" applyProtection="1">
      <alignment horizontal="center"/>
    </xf>
    <xf numFmtId="164" fontId="5" fillId="2" borderId="5" xfId="0" applyFont="1" applyFill="1" applyBorder="1" applyAlignment="1">
      <alignment horizontal="center"/>
    </xf>
    <xf numFmtId="164" fontId="3" fillId="0" borderId="0" xfId="0" applyFont="1" applyAlignment="1"/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8080FF"/>
      <rgbColor rgb="00802060"/>
      <rgbColor rgb="00FFFFC0"/>
      <rgbColor rgb="00A0E0E0"/>
      <rgbColor rgb="00600080"/>
      <rgbColor rgb="00FF8080"/>
      <rgbColor rgb="000080C0"/>
      <rgbColor rgb="00C0C0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69FFFF"/>
      <rgbColor rgb="00CCFFCC"/>
      <rgbColor rgb="00FFFF99"/>
      <rgbColor rgb="00A6CAF0"/>
      <rgbColor rgb="00CC9CCC"/>
      <rgbColor rgb="00CC99FF"/>
      <rgbColor rgb="00E3E3E3"/>
      <rgbColor rgb="003366FF"/>
      <rgbColor rgb="0033CCCC"/>
      <rgbColor rgb="00339933"/>
      <rgbColor rgb="00999933"/>
      <rgbColor rgb="00996633"/>
      <rgbColor rgb="00996666"/>
      <rgbColor rgb="00666699"/>
      <rgbColor rgb="00969696"/>
      <rgbColor rgb="003333CC"/>
      <rgbColor rgb="00336666"/>
      <rgbColor rgb="00003300"/>
      <rgbColor rgb="00333300"/>
      <rgbColor rgb="00663300"/>
      <rgbColor rgb="00993366"/>
      <rgbColor rgb="00333399"/>
      <rgbColor rgb="00424242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409575</xdr:colOff>
      <xdr:row>0</xdr:row>
      <xdr:rowOff>76200</xdr:rowOff>
    </xdr:from>
    <xdr:to>
      <xdr:col>9</xdr:col>
      <xdr:colOff>9525</xdr:colOff>
      <xdr:row>2</xdr:row>
      <xdr:rowOff>85725</xdr:rowOff>
    </xdr:to>
    <xdr:sp macro="[0]!Toggle" textlink="">
      <xdr:nvSpPr>
        <xdr:cNvPr id="1025" name="Text 1"/>
        <xdr:cNvSpPr>
          <a:spLocks noChangeArrowheads="1"/>
        </xdr:cNvSpPr>
      </xdr:nvSpPr>
      <xdr:spPr bwMode="auto">
        <a:xfrm>
          <a:off x="1638300" y="76200"/>
          <a:ext cx="2162175" cy="333375"/>
        </a:xfrm>
        <a:prstGeom prst="roundRect">
          <a:avLst>
            <a:gd name="adj" fmla="val 16667"/>
          </a:avLst>
        </a:prstGeom>
        <a:solidFill>
          <a:srgbClr val="00FFFF"/>
        </a:solidFill>
        <a:ln w="9525">
          <a:solidFill>
            <a:srgbClr val="000000"/>
          </a:solidFill>
          <a:round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200" b="1" i="0" u="none" strike="noStrike" baseline="0">
              <a:solidFill>
                <a:srgbClr val="000000"/>
              </a:solidFill>
              <a:latin typeface="Arial"/>
              <a:cs typeface="Arial"/>
            </a:rPr>
            <a:t>Northwest Petroleum</a:t>
          </a:r>
        </a:p>
      </xdr:txBody>
    </xdr:sp>
    <xdr:clientData/>
  </xdr:twoCellAnchor>
  <xdr:twoCellAnchor>
    <xdr:from>
      <xdr:col>7</xdr:col>
      <xdr:colOff>314325</xdr:colOff>
      <xdr:row>12</xdr:row>
      <xdr:rowOff>66675</xdr:rowOff>
    </xdr:from>
    <xdr:to>
      <xdr:col>11</xdr:col>
      <xdr:colOff>990600</xdr:colOff>
      <xdr:row>17</xdr:row>
      <xdr:rowOff>38100</xdr:rowOff>
    </xdr:to>
    <xdr:sp macro="" textlink="">
      <xdr:nvSpPr>
        <xdr:cNvPr id="1026" name="Note" hidden="1"/>
        <xdr:cNvSpPr txBox="1">
          <a:spLocks noChangeArrowheads="1"/>
        </xdr:cNvSpPr>
      </xdr:nvSpPr>
      <xdr:spPr bwMode="auto">
        <a:xfrm>
          <a:off x="3305175" y="2028825"/>
          <a:ext cx="2733675" cy="828675"/>
        </a:xfrm>
        <a:prstGeom prst="rect">
          <a:avLst/>
        </a:prstGeom>
        <a:solidFill>
          <a:srgbClr val="FFFF00"/>
        </a:solidFill>
        <a:ln w="9525">
          <a:solidFill>
            <a:srgbClr val="000000"/>
          </a:solidFill>
          <a:miter lim="800000"/>
          <a:headEnd/>
          <a:tailEnd/>
        </a:ln>
        <a:effectLst>
          <a:outerShdw dist="35921" dir="2700000" algn="ctr" rotWithShape="0">
            <a:srgbClr val="000000"/>
          </a:outerShdw>
        </a:effectLst>
        <a:extLst>
          <a:ext uri="{53640926-AAD7-44D8-BBD7-CCE9431645EC}">
            <a14:shadowObscured xmlns:a14="http://schemas.microsoft.com/office/drawing/2010/main" val="1"/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Maximize:      B16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By Changing: B6:B14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Subject to:     K6:K11=L6:L11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B6:B14&lt;=G6:G14</a:t>
          </a:r>
        </a:p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Fixedsys"/>
            </a:rPr>
            <a:t>                      B6:B14&gt;=0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syncVertical="1" syncRef="A1" transitionEvaluation="1"/>
  <dimension ref="B1:M18"/>
  <sheetViews>
    <sheetView tabSelected="1" zoomScale="160" zoomScaleNormal="160" workbookViewId="0">
      <selection activeCell="K10" sqref="K10"/>
    </sheetView>
  </sheetViews>
  <sheetFormatPr defaultColWidth="5.7109375" defaultRowHeight="12.75" x14ac:dyDescent="0.2"/>
  <cols>
    <col min="1" max="1" width="5.7109375" style="1"/>
    <col min="2" max="2" width="9" style="6" customWidth="1"/>
    <col min="3" max="3" width="3.7109375" style="6" customWidth="1"/>
    <col min="4" max="4" width="8" style="6" customWidth="1"/>
    <col min="5" max="5" width="3.28515625" style="6" customWidth="1"/>
    <col min="6" max="6" width="8" style="6" customWidth="1"/>
    <col min="7" max="7" width="7.140625" style="6" bestFit="1" customWidth="1"/>
    <col min="8" max="8" width="6.28515625" style="1" customWidth="1"/>
    <col min="9" max="9" width="5.7109375" style="6"/>
    <col min="10" max="11" width="9.42578125" style="6" bestFit="1" customWidth="1"/>
    <col min="12" max="12" width="16.28515625" style="1" bestFit="1" customWidth="1"/>
    <col min="13" max="16384" width="5.7109375" style="1"/>
  </cols>
  <sheetData>
    <row r="1" spans="2:13" x14ac:dyDescent="0.2">
      <c r="C1" s="8"/>
      <c r="D1" s="8"/>
      <c r="E1" s="8"/>
      <c r="F1" s="8"/>
      <c r="G1" s="8"/>
      <c r="H1" s="2"/>
    </row>
    <row r="2" spans="2:13" x14ac:dyDescent="0.2">
      <c r="C2" s="8"/>
      <c r="D2" s="8"/>
      <c r="E2" s="8"/>
      <c r="F2" s="8"/>
      <c r="G2" s="25"/>
      <c r="H2" s="2"/>
    </row>
    <row r="4" spans="2:13" x14ac:dyDescent="0.2">
      <c r="B4" s="3" t="s">
        <v>0</v>
      </c>
      <c r="C4" s="13" t="s">
        <v>1</v>
      </c>
      <c r="D4" s="13"/>
      <c r="E4" s="2"/>
      <c r="F4" s="2"/>
      <c r="G4" s="3" t="s">
        <v>2</v>
      </c>
    </row>
    <row r="5" spans="2:13" ht="13.5" thickBot="1" x14ac:dyDescent="0.25">
      <c r="B5" s="5" t="s">
        <v>3</v>
      </c>
      <c r="C5" s="18" t="s">
        <v>4</v>
      </c>
      <c r="D5" s="5"/>
      <c r="E5" s="18" t="s">
        <v>5</v>
      </c>
      <c r="F5" s="5"/>
      <c r="G5" s="5" t="s">
        <v>6</v>
      </c>
      <c r="I5" s="21" t="s">
        <v>7</v>
      </c>
      <c r="J5" s="9"/>
      <c r="K5" s="9" t="s">
        <v>8</v>
      </c>
      <c r="L5" s="16" t="s">
        <v>9</v>
      </c>
    </row>
    <row r="6" spans="2:13" x14ac:dyDescent="0.2">
      <c r="B6" s="22">
        <v>5</v>
      </c>
      <c r="C6" s="10">
        <v>1</v>
      </c>
      <c r="D6" s="19" t="str">
        <f>VLOOKUP(C6,$I$6:$J$11,2)</f>
        <v>Oil Field</v>
      </c>
      <c r="E6" s="10">
        <v>2</v>
      </c>
      <c r="F6" s="19" t="str">
        <f t="shared" ref="F6:F14" si="0">VLOOKUP(E6,$I$6:$J$11,2)</f>
        <v>Station 1</v>
      </c>
      <c r="G6" s="10">
        <v>6</v>
      </c>
      <c r="I6" s="7">
        <v>1</v>
      </c>
      <c r="J6" s="7" t="s">
        <v>10</v>
      </c>
      <c r="K6" s="24">
        <f>SUMIF($E$6:$E$14,I6,$B$6:$B$14)-SUMIF($C$6:$C$14,I6,$B$6:$B$14)</f>
        <v>0</v>
      </c>
      <c r="L6" s="7">
        <v>0</v>
      </c>
    </row>
    <row r="7" spans="2:13" x14ac:dyDescent="0.2">
      <c r="B7" s="22">
        <v>4</v>
      </c>
      <c r="C7" s="10">
        <v>1</v>
      </c>
      <c r="D7" s="19" t="str">
        <f t="shared" ref="D7:D14" si="1">VLOOKUP(C7,$I$6:$J$11,2)</f>
        <v>Oil Field</v>
      </c>
      <c r="E7" s="10">
        <v>3</v>
      </c>
      <c r="F7" s="19" t="str">
        <f t="shared" si="0"/>
        <v>Station 2</v>
      </c>
      <c r="G7" s="10">
        <v>4</v>
      </c>
      <c r="I7" s="7">
        <v>2</v>
      </c>
      <c r="J7" s="7" t="s">
        <v>11</v>
      </c>
      <c r="K7" s="24">
        <f t="shared" ref="K7:K11" si="2">SUMIF($E$6:$E$14,I7,$B$6:$B$14)-SUMIF($C$6:$C$14,I7,$B$6:$B$14)</f>
        <v>0</v>
      </c>
      <c r="L7" s="7">
        <v>0</v>
      </c>
    </row>
    <row r="8" spans="2:13" x14ac:dyDescent="0.2">
      <c r="B8" s="22">
        <v>3</v>
      </c>
      <c r="C8" s="10">
        <v>2</v>
      </c>
      <c r="D8" s="19" t="str">
        <f t="shared" si="1"/>
        <v>Station 1</v>
      </c>
      <c r="E8" s="10">
        <v>4</v>
      </c>
      <c r="F8" s="19" t="str">
        <f t="shared" si="0"/>
        <v>Station 3</v>
      </c>
      <c r="G8" s="10">
        <v>3</v>
      </c>
      <c r="I8" s="7">
        <v>3</v>
      </c>
      <c r="J8" s="7" t="s">
        <v>12</v>
      </c>
      <c r="K8" s="24">
        <f t="shared" si="2"/>
        <v>0</v>
      </c>
      <c r="L8" s="7">
        <v>0</v>
      </c>
    </row>
    <row r="9" spans="2:13" x14ac:dyDescent="0.2">
      <c r="B9" s="22">
        <v>2</v>
      </c>
      <c r="C9" s="10">
        <v>2</v>
      </c>
      <c r="D9" s="19" t="str">
        <f t="shared" si="1"/>
        <v>Station 1</v>
      </c>
      <c r="E9" s="10">
        <v>5</v>
      </c>
      <c r="F9" s="19" t="str">
        <f t="shared" si="0"/>
        <v>Station 4</v>
      </c>
      <c r="G9" s="10">
        <v>2</v>
      </c>
      <c r="I9" s="7">
        <v>4</v>
      </c>
      <c r="J9" s="7" t="s">
        <v>13</v>
      </c>
      <c r="K9" s="24">
        <f>SUMIF($E$6:$E$14,I9,$B$6:$B$14)-SUMIF($C$6:$C$14,I9,$B$6:$B$14)</f>
        <v>0</v>
      </c>
      <c r="L9" s="7">
        <v>0</v>
      </c>
    </row>
    <row r="10" spans="2:13" x14ac:dyDescent="0.2">
      <c r="B10" s="22">
        <v>2</v>
      </c>
      <c r="C10" s="10">
        <v>3</v>
      </c>
      <c r="D10" s="19" t="str">
        <f t="shared" si="1"/>
        <v>Station 2</v>
      </c>
      <c r="E10" s="10">
        <v>4</v>
      </c>
      <c r="F10" s="19" t="str">
        <f t="shared" si="0"/>
        <v>Station 3</v>
      </c>
      <c r="G10" s="10">
        <v>2</v>
      </c>
      <c r="I10" s="7">
        <v>5</v>
      </c>
      <c r="J10" s="7" t="s">
        <v>14</v>
      </c>
      <c r="K10" s="24">
        <f t="shared" si="2"/>
        <v>0</v>
      </c>
      <c r="L10" s="7">
        <v>0</v>
      </c>
    </row>
    <row r="11" spans="2:13" ht="13.5" thickBot="1" x14ac:dyDescent="0.25">
      <c r="B11" s="22">
        <v>2</v>
      </c>
      <c r="C11" s="10">
        <v>3</v>
      </c>
      <c r="D11" s="19" t="str">
        <f t="shared" si="1"/>
        <v>Station 2</v>
      </c>
      <c r="E11" s="10">
        <v>5</v>
      </c>
      <c r="F11" s="19" t="str">
        <f t="shared" si="0"/>
        <v>Station 4</v>
      </c>
      <c r="G11" s="10">
        <v>5</v>
      </c>
      <c r="I11" s="9">
        <v>6</v>
      </c>
      <c r="J11" s="17" t="s">
        <v>15</v>
      </c>
      <c r="K11" s="24">
        <f t="shared" si="2"/>
        <v>0</v>
      </c>
      <c r="L11" s="7">
        <v>0</v>
      </c>
    </row>
    <row r="12" spans="2:13" x14ac:dyDescent="0.2">
      <c r="B12" s="22">
        <v>5</v>
      </c>
      <c r="C12" s="10">
        <v>4</v>
      </c>
      <c r="D12" s="19" t="str">
        <f t="shared" si="1"/>
        <v>Station 3</v>
      </c>
      <c r="E12" s="10">
        <v>6</v>
      </c>
      <c r="F12" s="19" t="str">
        <f t="shared" si="0"/>
        <v>Refinery</v>
      </c>
      <c r="G12" s="10">
        <v>6</v>
      </c>
      <c r="I12" s="14"/>
      <c r="J12" s="14"/>
      <c r="K12" s="14"/>
      <c r="L12" s="14"/>
      <c r="M12" s="15"/>
    </row>
    <row r="13" spans="2:13" x14ac:dyDescent="0.2">
      <c r="B13" s="22">
        <v>4</v>
      </c>
      <c r="C13" s="10">
        <v>5</v>
      </c>
      <c r="D13" s="19" t="str">
        <f t="shared" si="1"/>
        <v>Station 4</v>
      </c>
      <c r="E13" s="10">
        <v>6</v>
      </c>
      <c r="F13" s="19" t="str">
        <f t="shared" si="0"/>
        <v>Refinery</v>
      </c>
      <c r="G13" s="10">
        <v>4</v>
      </c>
    </row>
    <row r="14" spans="2:13" ht="13.5" thickBot="1" x14ac:dyDescent="0.25">
      <c r="B14" s="22">
        <v>9</v>
      </c>
      <c r="C14" s="11">
        <v>6</v>
      </c>
      <c r="D14" s="20" t="str">
        <f t="shared" si="1"/>
        <v>Refinery</v>
      </c>
      <c r="E14" s="11">
        <v>1</v>
      </c>
      <c r="F14" s="20" t="str">
        <f t="shared" si="0"/>
        <v>Oil Field</v>
      </c>
      <c r="G14" s="11">
        <v>9999</v>
      </c>
    </row>
    <row r="15" spans="2:13" ht="13.5" thickBot="1" x14ac:dyDescent="0.25">
      <c r="B15" s="14"/>
      <c r="C15" s="14"/>
      <c r="D15" s="14"/>
      <c r="E15" s="14"/>
      <c r="F15" s="14"/>
      <c r="G15" s="14"/>
    </row>
    <row r="16" spans="2:13" ht="14.25" thickTop="1" thickBot="1" x14ac:dyDescent="0.25">
      <c r="B16" s="23">
        <f>B14</f>
        <v>9</v>
      </c>
      <c r="C16" s="12" t="s">
        <v>16</v>
      </c>
      <c r="D16" s="12"/>
      <c r="E16" s="7"/>
      <c r="F16" s="7"/>
      <c r="G16" s="7"/>
    </row>
    <row r="17" spans="8:10" ht="13.5" thickTop="1" x14ac:dyDescent="0.2"/>
    <row r="18" spans="8:10" x14ac:dyDescent="0.2">
      <c r="H18" s="4"/>
      <c r="J18"/>
    </row>
  </sheetData>
  <phoneticPr fontId="10" type="noConversion"/>
  <printOptions gridLines="1" gridLinesSet="0"/>
  <pageMargins left="0.75" right="0.75" top="1" bottom="1" header="0.5" footer="0.5"/>
  <pageSetup orientation="portrait" horizontalDpi="300" verticalDpi="300" r:id="rId1"/>
  <headerFooter alignWithMargins="0"/>
  <ignoredErrors>
    <ignoredError sqref="D6" unlockedFormula="1"/>
  </ignoredErrors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Flow Report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Department of Management Scien</dc:creator>
  <cp:lastModifiedBy>Prof Rahul Marathe</cp:lastModifiedBy>
  <dcterms:created xsi:type="dcterms:W3CDTF">2010-02-08T14:58:51Z</dcterms:created>
  <dcterms:modified xsi:type="dcterms:W3CDTF">2023-10-10T07:03:43Z</dcterms:modified>
</cp:coreProperties>
</file>